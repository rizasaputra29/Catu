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75D6A0-299E-4344-9D53-97C0448742A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etunjuk" sheetId="1" r:id="rId1"/>
    <sheet name="📅 Januari" sheetId="2" r:id="rId2"/>
    <sheet name="📅 Februari" sheetId="3" r:id="rId3"/>
    <sheet name="📅 Maret" sheetId="4" r:id="rId4"/>
    <sheet name="📅 April" sheetId="5" r:id="rId5"/>
    <sheet name="📅 Mei" sheetId="6" r:id="rId6"/>
    <sheet name="📅 Juni" sheetId="7" r:id="rId7"/>
    <sheet name="📅 Juli" sheetId="8" r:id="rId8"/>
    <sheet name="📅 Agustus" sheetId="9" r:id="rId9"/>
    <sheet name="📅 September" sheetId="10" r:id="rId10"/>
    <sheet name="📅 Oktober" sheetId="11" r:id="rId11"/>
    <sheet name="📅 November" sheetId="12" r:id="rId12"/>
    <sheet name="📅 Desember" sheetId="13" r:id="rId13"/>
    <sheet name="📊 Rekap Tahunan" sheetId="14" r:id="rId1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4" l="1"/>
  <c r="C14" i="14"/>
  <c r="C12" i="14"/>
  <c r="C11" i="14"/>
  <c r="E11" i="14" s="1"/>
  <c r="F11" i="14" s="1"/>
  <c r="C10" i="14"/>
  <c r="C7" i="14"/>
  <c r="E7" i="14" s="1"/>
  <c r="F7" i="14" s="1"/>
  <c r="F38" i="13"/>
  <c r="D17" i="14" s="1"/>
  <c r="E38" i="13"/>
  <c r="E40" i="13" s="1"/>
  <c r="G8" i="13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G21" i="13" s="1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F38" i="12"/>
  <c r="D16" i="14" s="1"/>
  <c r="E38" i="12"/>
  <c r="E40" i="12" s="1"/>
  <c r="G8" i="12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G19" i="12" s="1"/>
  <c r="G20" i="12" s="1"/>
  <c r="G21" i="12" s="1"/>
  <c r="G22" i="12" s="1"/>
  <c r="G23" i="12" s="1"/>
  <c r="G24" i="12" s="1"/>
  <c r="G25" i="12" s="1"/>
  <c r="G26" i="12" s="1"/>
  <c r="G27" i="12" s="1"/>
  <c r="G28" i="12" s="1"/>
  <c r="G29" i="12" s="1"/>
  <c r="G30" i="12" s="1"/>
  <c r="G31" i="12" s="1"/>
  <c r="G32" i="12" s="1"/>
  <c r="G33" i="12" s="1"/>
  <c r="G34" i="12" s="1"/>
  <c r="G35" i="12" s="1"/>
  <c r="G36" i="12" s="1"/>
  <c r="G37" i="12" s="1"/>
  <c r="G38" i="12" s="1"/>
  <c r="F38" i="11"/>
  <c r="D15" i="14" s="1"/>
  <c r="E38" i="11"/>
  <c r="E40" i="11" s="1"/>
  <c r="G8" i="1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F38" i="10"/>
  <c r="D14" i="14" s="1"/>
  <c r="E38" i="10"/>
  <c r="E40" i="10" s="1"/>
  <c r="G8" i="10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F38" i="9"/>
  <c r="D13" i="14" s="1"/>
  <c r="E38" i="9"/>
  <c r="E40" i="9" s="1"/>
  <c r="G10" i="9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8" i="9"/>
  <c r="G9" i="9" s="1"/>
  <c r="F38" i="8"/>
  <c r="D12" i="14" s="1"/>
  <c r="E38" i="8"/>
  <c r="E40" i="8" s="1"/>
  <c r="G8" i="8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F38" i="7"/>
  <c r="D11" i="14" s="1"/>
  <c r="E38" i="7"/>
  <c r="E40" i="7" s="1"/>
  <c r="G8" i="7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F38" i="6"/>
  <c r="D10" i="14" s="1"/>
  <c r="E38" i="6"/>
  <c r="E40" i="6" s="1"/>
  <c r="G8" i="6"/>
  <c r="G9" i="6" s="1"/>
  <c r="G10" i="6" s="1"/>
  <c r="G11" i="6" s="1"/>
  <c r="G12" i="6" s="1"/>
  <c r="G13" i="6" s="1"/>
  <c r="G14" i="6" s="1"/>
  <c r="G15" i="6" s="1"/>
  <c r="G16" i="6" s="1"/>
  <c r="G17" i="6" s="1"/>
  <c r="G18" i="6" s="1"/>
  <c r="G19" i="6" s="1"/>
  <c r="G20" i="6" s="1"/>
  <c r="G21" i="6" s="1"/>
  <c r="G22" i="6" s="1"/>
  <c r="G23" i="6" s="1"/>
  <c r="G24" i="6" s="1"/>
  <c r="G25" i="6" s="1"/>
  <c r="G26" i="6" s="1"/>
  <c r="G27" i="6" s="1"/>
  <c r="G28" i="6" s="1"/>
  <c r="G29" i="6" s="1"/>
  <c r="G30" i="6" s="1"/>
  <c r="G31" i="6" s="1"/>
  <c r="G32" i="6" s="1"/>
  <c r="G33" i="6" s="1"/>
  <c r="G34" i="6" s="1"/>
  <c r="G35" i="6" s="1"/>
  <c r="G36" i="6" s="1"/>
  <c r="G37" i="6" s="1"/>
  <c r="G38" i="6" s="1"/>
  <c r="F38" i="5"/>
  <c r="D9" i="14" s="1"/>
  <c r="E38" i="5"/>
  <c r="E40" i="5" s="1"/>
  <c r="G9" i="5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G37" i="5" s="1"/>
  <c r="G38" i="5" s="1"/>
  <c r="G8" i="5"/>
  <c r="F38" i="4"/>
  <c r="D8" i="14" s="1"/>
  <c r="E38" i="4"/>
  <c r="E40" i="4" s="1"/>
  <c r="G8" i="4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E40" i="3"/>
  <c r="F38" i="3"/>
  <c r="D7" i="14" s="1"/>
  <c r="E38" i="3"/>
  <c r="G9" i="3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8" i="3"/>
  <c r="F38" i="2"/>
  <c r="D6" i="14" s="1"/>
  <c r="D20" i="14" s="1"/>
  <c r="E38" i="2"/>
  <c r="C6" i="14" s="1"/>
  <c r="G8" i="2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E6" i="14" l="1"/>
  <c r="F6" i="14" s="1"/>
  <c r="C8" i="14"/>
  <c r="E8" i="14" s="1"/>
  <c r="F8" i="14" s="1"/>
  <c r="E12" i="14"/>
  <c r="F12" i="14" s="1"/>
  <c r="E16" i="14"/>
  <c r="F16" i="14" s="1"/>
  <c r="E40" i="2"/>
  <c r="C9" i="14"/>
  <c r="E9" i="14" s="1"/>
  <c r="F9" i="14" s="1"/>
  <c r="C13" i="14"/>
  <c r="E13" i="14" s="1"/>
  <c r="F13" i="14" s="1"/>
  <c r="C17" i="14"/>
  <c r="E17" i="14" s="1"/>
  <c r="F17" i="14" s="1"/>
  <c r="C15" i="14"/>
  <c r="E15" i="14" s="1"/>
  <c r="F15" i="14" s="1"/>
  <c r="E10" i="14"/>
  <c r="F10" i="14" s="1"/>
  <c r="E14" i="14"/>
  <c r="F14" i="14" s="1"/>
  <c r="C20" i="14" l="1"/>
  <c r="E20" i="14" s="1"/>
  <c r="F20" i="14" s="1"/>
</calcChain>
</file>

<file path=xl/sharedStrings.xml><?xml version="1.0" encoding="utf-8"?>
<sst xmlns="http://schemas.openxmlformats.org/spreadsheetml/2006/main" count="232" uniqueCount="75">
  <si>
    <t>Template Pencatatan Keuangan untuk Pelaku Usaha Desa</t>
  </si>
  <si>
    <t>✅  APA FUNGSI TEMPLATE INI?</t>
  </si>
  <si>
    <t xml:space="preserve">  ✔  Mencatat semua uang masuk (pemasukan) dari hasil penjualan usaha Anda.</t>
  </si>
  <si>
    <t xml:space="preserve">  ✔  Mencatat semua uang keluar (pengeluaran) untuk keperluan usaha.</t>
  </si>
  <si>
    <t xml:space="preserve">  ✔  Menghitung sisa saldo / kas usaha secara otomatis.</t>
  </si>
  <si>
    <t xml:space="preserve">  ✔  Mengetahui apakah usaha Anda untung atau rugi setiap bulan.</t>
  </si>
  <si>
    <t>📌  CARA PENGGUNAAN</t>
  </si>
  <si>
    <t>1️⃣  Sheet JANUARI – DESEMBER</t>
  </si>
  <si>
    <t>Pilih sheet bulan yang sesuai, lalu isi kolom tanggal, keterangan, pemasukan / pengeluaran.</t>
  </si>
  <si>
    <t>2️⃣  Kolom SALDO</t>
  </si>
  <si>
    <t>Saldo akan terhitung OTOMATIS. Jangan diisi manual.</t>
  </si>
  <si>
    <t>3️⃣  Sheet REKAP TAHUNAN</t>
  </si>
  <si>
    <t>Ringkasan otomatis seluruh 12 bulan. Lihat untung/rugi per bulan di sini.</t>
  </si>
  <si>
    <t>4️⃣  Pisahkan uang usaha &amp; pribadi</t>
  </si>
  <si>
    <t>Jangan campur pengeluaran usaha dengan belanja rumah tangga.</t>
  </si>
  <si>
    <t>5️⃣  Isi setiap hari atau minimal sekali seminggu</t>
  </si>
  <si>
    <t>Makin rutin dicatat, makin mudah mengelola keuangan usaha Anda.</t>
  </si>
  <si>
    <t>💡  KETERANGAN WARNA</t>
  </si>
  <si>
    <t xml:space="preserve">      </t>
  </si>
  <si>
    <t>Baris Pemasukan  — uang yang masuk ke usaha Anda</t>
  </si>
  <si>
    <t>Baris Pengeluaran — uang yang keluar dari usaha Anda</t>
  </si>
  <si>
    <t>Baris Saldo       — sisa uang kas usaha</t>
  </si>
  <si>
    <t>Header / Judul kolom</t>
  </si>
  <si>
    <t>📒 BUKU KAS USAHA  —  JANUARI</t>
  </si>
  <si>
    <t>Nama Usaha : ___________________________     Nama Pemilik : ___________________________     Tahun : _______</t>
  </si>
  <si>
    <t>💰  SALDO AWAL BULAN INI (Rp)</t>
  </si>
  <si>
    <t>← Isi angka saldo awal di sini</t>
  </si>
  <si>
    <t>No</t>
  </si>
  <si>
    <t>Tanggal</t>
  </si>
  <si>
    <t>Keterangan</t>
  </si>
  <si>
    <t>Kategori</t>
  </si>
  <si>
    <t>Pemasukan (Rp)</t>
  </si>
  <si>
    <t>Pengeluaran (Rp)</t>
  </si>
  <si>
    <t>Saldo (Rp)</t>
  </si>
  <si>
    <t>TOTAL BULAN INI</t>
  </si>
  <si>
    <t>📊  SELISIH (Pemasukan – Pengeluaran)</t>
  </si>
  <si>
    <t>ℹ️  Jika Selisih POSITIF (+) → Usaha UNTUNG bulan ini   |   Jika NEGATIF (–) → Perlu dievaluasi</t>
  </si>
  <si>
    <t>💡  Contoh Kategori Pemasukan: Penjualan, Jasa, Titipan     |     Pengeluaran: Bahan Baku, Ongkos Kirim, Listrik, Gaji, Sewa, Lain-lain</t>
  </si>
  <si>
    <t>📒 BUKU KAS USAHA  —  FEBRUARI</t>
  </si>
  <si>
    <t>📒 BUKU KAS USAHA  —  MARET</t>
  </si>
  <si>
    <t>📒 BUKU KAS USAHA  —  APRIL</t>
  </si>
  <si>
    <t>📒 BUKU KAS USAHA  —  MEI</t>
  </si>
  <si>
    <t>📒 BUKU KAS USAHA  —  JUNI</t>
  </si>
  <si>
    <t>📒 BUKU KAS USAHA  —  JULI</t>
  </si>
  <si>
    <t>📒 BUKU KAS USAHA  —  AGUSTUS</t>
  </si>
  <si>
    <t>📒 BUKU KAS USAHA  —  SEPTEMBER</t>
  </si>
  <si>
    <t>📒 BUKU KAS USAHA  —  OKTOBER</t>
  </si>
  <si>
    <t>📒 BUKU KAS USAHA  —  NOVEMBER</t>
  </si>
  <si>
    <t>📒 BUKU KAS USAHA  —  DESEMBER</t>
  </si>
  <si>
    <t>📊 REKAP KEUANGAN TAHUNAN USAHA</t>
  </si>
  <si>
    <t>Nama Usaha : ___________________________     Tahun : _______</t>
  </si>
  <si>
    <t>Bulan</t>
  </si>
  <si>
    <t>Total Pemasukan (Rp)</t>
  </si>
  <si>
    <t>Total Pengeluaran (Rp)</t>
  </si>
  <si>
    <t>Untung / Rugi (Rp)</t>
  </si>
  <si>
    <t>Status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</si>
  <si>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</si>
  <si>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</si>
  <si>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</si>
  <si>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</si>
  <si>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</si>
  <si>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</si>
  <si>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</si>
  <si>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</si>
  <si>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</si>
  <si>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</si>
  <si>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</si>
  <si>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</si>
  <si>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SETAHUN</t>
  </si>
  <si>
    <t>ℹ️  Rekap ini terisi otomatis dari sheet setiap bulan. Pastikan setiap sheet bulanan sudah diisi dengan benar.</t>
  </si>
  <si>
    <t>BUKU KAS UMKM SEDERHANA</t>
  </si>
  <si>
    <t>3 Juli 2026</t>
  </si>
  <si>
    <t>Beli bahan baku</t>
  </si>
  <si>
    <t>bahan baku</t>
  </si>
  <si>
    <t>Nama Usaha : Wingko Sukun     Nama Pemilik : ___________________________     Tahun :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</si>
</sst>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IDR]\ * #,##0_);_([$IDR]\ * \(#,##0\);_([$IDR]\ * &quot;-&quot;??_);_(@_)"/>
    <numFmt numFmtId="165" formatCode="_([$IDR]\ * #,##0_);_([$IDR]\ * \(#,##0\);_([$IDR]\ * &quot;-&quot;_);_(@_)"/>
    <numFmt numFmtId="166" formatCode="[$IDR]\ #,##0_);\([$IDR]\ #,##0\)"/>
  </numFmts>
  <fonts count="18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12"/>
      <color rgb="FF1B6B3A"/>
      <name val="Arial"/>
      <family val="2"/>
    </font>
    <font>
      <b/>
      <sz val="13"/>
      <color rgb="FFFFFFF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777777"/>
      <name val="Arial"/>
      <family val="2"/>
    </font>
    <font>
      <b/>
      <sz val="16"/>
      <color rgb="FFFFFFFF"/>
      <name val="Arial"/>
      <family val="2"/>
    </font>
    <font>
      <i/>
      <sz val="10"/>
      <color rgb="FF000000"/>
      <name val="Arial"/>
      <family val="2"/>
    </font>
    <font>
      <b/>
      <sz val="11"/>
      <color rgb="FF000000"/>
      <name val="Arial"/>
      <family val="2"/>
    </font>
    <font>
      <i/>
      <sz val="9"/>
      <color rgb="FF888888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i/>
      <sz val="9"/>
      <color rgb="FF555555"/>
      <name val="Arial"/>
      <family val="2"/>
    </font>
    <font>
      <b/>
      <sz val="18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B6B3A"/>
        <bgColor rgb="FF1A5276"/>
      </patternFill>
    </fill>
    <fill>
      <patternFill patternType="solid">
        <fgColor rgb="FFD6F0DF"/>
        <bgColor rgb="FFD6EAF8"/>
      </patternFill>
    </fill>
    <fill>
      <patternFill patternType="solid">
        <fgColor rgb="FF5CA97A"/>
        <bgColor rgb="FF888888"/>
      </patternFill>
    </fill>
    <fill>
      <patternFill patternType="solid">
        <fgColor rgb="FF1A5276"/>
        <bgColor rgb="FF1B6B3A"/>
      </patternFill>
    </fill>
    <fill>
      <patternFill patternType="solid">
        <fgColor rgb="FFD6EAF8"/>
        <bgColor rgb="FFD6F0DF"/>
      </patternFill>
    </fill>
    <fill>
      <patternFill patternType="solid">
        <fgColor rgb="FFF2F2F2"/>
        <bgColor rgb="FFFFFFFF"/>
      </patternFill>
    </fill>
    <fill>
      <patternFill patternType="solid">
        <fgColor rgb="FFF39C12"/>
        <bgColor rgb="FFFFCC00"/>
      </patternFill>
    </fill>
    <fill>
      <patternFill patternType="solid">
        <fgColor rgb="FFFFE0E0"/>
        <bgColor rgb="FFFFF3CD"/>
      </patternFill>
    </fill>
    <fill>
      <patternFill patternType="solid">
        <fgColor rgb="FFFFF3CD"/>
        <bgColor rgb="FFF2F2F2"/>
      </patternFill>
    </fill>
    <fill>
      <patternFill patternType="solid">
        <fgColor rgb="FFFFFFFF"/>
        <bgColor rgb="FFF2F2F2"/>
      </patternFill>
    </fill>
  </fills>
  <borders count="5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1B6B3A"/>
      </left>
      <right/>
      <top style="medium">
        <color rgb="FF1B6B3A"/>
      </top>
      <bottom style="medium">
        <color rgb="FF1B6B3A"/>
      </bottom>
      <diagonal/>
    </border>
    <border>
      <left style="medium">
        <color rgb="FF1B6B3A"/>
      </left>
      <right style="medium">
        <color rgb="FF1B6B3A"/>
      </right>
      <top style="medium">
        <color rgb="FF1B6B3A"/>
      </top>
      <bottom style="medium">
        <color rgb="FF1B6B3A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5" fillId="6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10" fillId="10" borderId="4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right" vertical="center"/>
    </xf>
    <xf numFmtId="0" fontId="13" fillId="10" borderId="2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right" vertical="center"/>
    </xf>
    <xf numFmtId="0" fontId="4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right" vertical="center"/>
    </xf>
    <xf numFmtId="0" fontId="10" fillId="10" borderId="2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center" vertical="center"/>
    </xf>
    <xf numFmtId="164" fontId="0" fillId="0" borderId="0" xfId="0" applyNumberFormat="1"/>
    <xf numFmtId="164" fontId="12" fillId="2" borderId="2" xfId="0" applyNumberFormat="1" applyFont="1" applyFill="1" applyBorder="1" applyAlignment="1">
      <alignment horizontal="center" vertical="center"/>
    </xf>
    <xf numFmtId="164" fontId="13" fillId="10" borderId="2" xfId="0" applyNumberFormat="1" applyFont="1" applyFill="1" applyBorder="1" applyAlignment="1">
      <alignment horizontal="right" vertical="center"/>
    </xf>
    <xf numFmtId="164" fontId="14" fillId="2" borderId="4" xfId="0" applyNumberFormat="1" applyFont="1" applyFill="1" applyBorder="1" applyAlignment="1">
      <alignment horizontal="right" vertical="center"/>
    </xf>
    <xf numFmtId="165" fontId="0" fillId="0" borderId="0" xfId="0" applyNumberFormat="1"/>
    <xf numFmtId="165" fontId="10" fillId="10" borderId="4" xfId="0" applyNumberFormat="1" applyFont="1" applyFill="1" applyBorder="1" applyAlignment="1">
      <alignment horizontal="right" vertical="center"/>
    </xf>
    <xf numFmtId="165" fontId="12" fillId="2" borderId="2" xfId="0" applyNumberFormat="1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right" vertical="center"/>
    </xf>
    <xf numFmtId="165" fontId="6" fillId="9" borderId="2" xfId="0" applyNumberFormat="1" applyFont="1" applyFill="1" applyBorder="1" applyAlignment="1">
      <alignment horizontal="right" vertical="center"/>
    </xf>
    <xf numFmtId="165" fontId="14" fillId="2" borderId="4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6" fillId="7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3" fillId="8" borderId="0" xfId="0" applyFont="1" applyFill="1" applyAlignment="1">
      <alignment horizontal="left" vertical="center"/>
    </xf>
    <xf numFmtId="0" fontId="10" fillId="6" borderId="3" xfId="0" applyFont="1" applyFill="1" applyBorder="1" applyAlignment="1">
      <alignment horizontal="left" vertical="center"/>
    </xf>
    <xf numFmtId="166" fontId="15" fillId="6" borderId="3" xfId="0" applyNumberFormat="1" applyFont="1" applyFill="1" applyBorder="1" applyAlignment="1">
      <alignment horizontal="right" vertical="center"/>
    </xf>
    <xf numFmtId="0" fontId="16" fillId="7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0" fillId="10" borderId="3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14" fillId="2" borderId="3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3CD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F0DF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39C12"/>
      <rgbColor rgb="FFFF6600"/>
      <rgbColor rgb="FF777777"/>
      <rgbColor rgb="FFAAAAAA"/>
      <rgbColor rgb="FF1A5276"/>
      <rgbColor rgb="FF5CA97A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4"/>
  <sheetViews>
    <sheetView showGridLines="0" tabSelected="1" zoomScaleNormal="100" workbookViewId="0">
      <selection activeCell="B25" sqref="B25"/>
    </sheetView>
  </sheetViews>
  <sheetFormatPr defaultColWidth="8.7109375" defaultRowHeight="15" x14ac:dyDescent="0.25"/>
  <cols>
    <col min="1" max="1" width="3" customWidth="1"/>
    <col min="2" max="2" width="22" customWidth="1"/>
    <col min="3" max="3" width="50" customWidth="1"/>
    <col min="4" max="4" width="22" customWidth="1"/>
  </cols>
  <sheetData>
    <row r="1" spans="2:4" ht="15" customHeight="1" x14ac:dyDescent="0.25"/>
    <row r="2" spans="2:4" ht="49.5" customHeight="1" x14ac:dyDescent="0.25">
      <c r="B2" s="34" t="s">
        <v>70</v>
      </c>
      <c r="C2" s="34"/>
      <c r="D2" s="34"/>
    </row>
    <row r="3" spans="2:4" ht="30" customHeight="1" x14ac:dyDescent="0.25">
      <c r="B3" s="35" t="s">
        <v>0</v>
      </c>
      <c r="C3" s="35"/>
      <c r="D3" s="35"/>
    </row>
    <row r="5" spans="2:4" ht="24.75" customHeight="1" x14ac:dyDescent="0.25">
      <c r="B5" s="36" t="s">
        <v>1</v>
      </c>
      <c r="C5" s="36"/>
      <c r="D5" s="36"/>
    </row>
    <row r="6" spans="2:4" ht="19.5" customHeight="1" x14ac:dyDescent="0.25">
      <c r="B6" s="37" t="s">
        <v>2</v>
      </c>
      <c r="C6" s="37"/>
      <c r="D6" s="37"/>
    </row>
    <row r="7" spans="2:4" ht="19.5" customHeight="1" x14ac:dyDescent="0.25">
      <c r="B7" s="37" t="s">
        <v>3</v>
      </c>
      <c r="C7" s="37"/>
      <c r="D7" s="37"/>
    </row>
    <row r="8" spans="2:4" ht="19.5" customHeight="1" x14ac:dyDescent="0.25">
      <c r="B8" s="37" t="s">
        <v>4</v>
      </c>
      <c r="C8" s="37"/>
      <c r="D8" s="37"/>
    </row>
    <row r="9" spans="2:4" ht="19.5" customHeight="1" x14ac:dyDescent="0.25">
      <c r="B9" s="37" t="s">
        <v>5</v>
      </c>
      <c r="C9" s="37"/>
      <c r="D9" s="37"/>
    </row>
    <row r="11" spans="2:4" ht="24.75" customHeight="1" x14ac:dyDescent="0.25">
      <c r="B11" s="38" t="s">
        <v>6</v>
      </c>
      <c r="C11" s="38"/>
      <c r="D11" s="38"/>
    </row>
    <row r="12" spans="2:4" ht="30" customHeight="1" x14ac:dyDescent="0.25">
      <c r="B12" s="1" t="s">
        <v>7</v>
      </c>
      <c r="C12" s="39" t="s">
        <v>8</v>
      </c>
      <c r="D12" s="39"/>
    </row>
    <row r="13" spans="2:4" ht="30" customHeight="1" x14ac:dyDescent="0.25">
      <c r="B13" s="1" t="s">
        <v>9</v>
      </c>
      <c r="C13" s="39" t="s">
        <v>10</v>
      </c>
      <c r="D13" s="39"/>
    </row>
    <row r="14" spans="2:4" ht="30" customHeight="1" x14ac:dyDescent="0.25">
      <c r="B14" s="1" t="s">
        <v>11</v>
      </c>
      <c r="C14" s="39" t="s">
        <v>12</v>
      </c>
      <c r="D14" s="39"/>
    </row>
    <row r="15" spans="2:4" ht="25.5" x14ac:dyDescent="0.25">
      <c r="B15" s="1" t="s">
        <v>13</v>
      </c>
      <c r="C15" s="39" t="s">
        <v>14</v>
      </c>
      <c r="D15" s="39"/>
    </row>
    <row r="16" spans="2:4" ht="38.25" x14ac:dyDescent="0.25">
      <c r="B16" s="1" t="s">
        <v>15</v>
      </c>
      <c r="C16" s="39" t="s">
        <v>16</v>
      </c>
      <c r="D16" s="39"/>
    </row>
    <row r="18" spans="2:4" ht="24.75" customHeight="1" x14ac:dyDescent="0.25">
      <c r="B18" s="42" t="s">
        <v>17</v>
      </c>
      <c r="C18" s="42"/>
      <c r="D18" s="42"/>
    </row>
    <row r="19" spans="2:4" ht="21.75" customHeight="1" x14ac:dyDescent="0.25">
      <c r="B19" s="2" t="s">
        <v>18</v>
      </c>
      <c r="C19" s="40" t="s">
        <v>19</v>
      </c>
      <c r="D19" s="40"/>
    </row>
    <row r="20" spans="2:4" ht="21.75" customHeight="1" x14ac:dyDescent="0.25">
      <c r="B20" s="3" t="s">
        <v>18</v>
      </c>
      <c r="C20" s="40" t="s">
        <v>20</v>
      </c>
      <c r="D20" s="40"/>
    </row>
    <row r="21" spans="2:4" ht="21.75" customHeight="1" x14ac:dyDescent="0.25">
      <c r="B21" s="4" t="s">
        <v>18</v>
      </c>
      <c r="C21" s="40" t="s">
        <v>21</v>
      </c>
      <c r="D21" s="40"/>
    </row>
    <row r="22" spans="2:4" ht="21.75" customHeight="1" x14ac:dyDescent="0.25">
      <c r="B22" s="5" t="s">
        <v>18</v>
      </c>
      <c r="C22" s="40" t="s">
        <v>22</v>
      </c>
      <c r="D22" s="40"/>
    </row>
    <row r="24" spans="2:4" ht="19.5" customHeight="1" x14ac:dyDescent="0.25">
      <c r="B24" s="41"/>
      <c r="C24" s="41"/>
      <c r="D24" s="41"/>
    </row>
  </sheetData>
  <mergeCells count="19">
    <mergeCell ref="C20:D20"/>
    <mergeCell ref="C21:D21"/>
    <mergeCell ref="C22:D22"/>
    <mergeCell ref="B24:D24"/>
    <mergeCell ref="C14:D14"/>
    <mergeCell ref="C15:D15"/>
    <mergeCell ref="C16:D16"/>
    <mergeCell ref="B18:D18"/>
    <mergeCell ref="C19:D19"/>
    <mergeCell ref="B8:D8"/>
    <mergeCell ref="B9:D9"/>
    <mergeCell ref="B11:D11"/>
    <mergeCell ref="C12:D12"/>
    <mergeCell ref="C13:D13"/>
    <mergeCell ref="B2:D2"/>
    <mergeCell ref="B3:D3"/>
    <mergeCell ref="B5:D5"/>
    <mergeCell ref="B6:D6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showGridLines="0" topLeftCell="A35" zoomScaleNormal="100" workbookViewId="0">
      <selection activeCell="F11" sqref="F11"/>
    </sheetView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6" width="18" style="28" customWidth="1"/>
    <col min="7" max="7" width="18" style="24" customWidth="1"/>
  </cols>
  <sheetData>
    <row r="1" spans="1:7" ht="13.5" customHeight="1" x14ac:dyDescent="0.25"/>
    <row r="2" spans="1:7" ht="39.75" customHeight="1" x14ac:dyDescent="0.25">
      <c r="A2" s="47" t="s">
        <v>23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74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29">
        <v>1500000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30" t="s">
        <v>31</v>
      </c>
      <c r="F7" s="30" t="s">
        <v>32</v>
      </c>
      <c r="G7" s="25" t="s">
        <v>33</v>
      </c>
    </row>
    <row r="8" spans="1:7" ht="21.75" customHeight="1" x14ac:dyDescent="0.25">
      <c r="A8" s="8">
        <v>1</v>
      </c>
      <c r="B8" s="9" t="s">
        <v>71</v>
      </c>
      <c r="C8" s="9" t="s">
        <v>72</v>
      </c>
      <c r="D8" s="9" t="s">
        <v>73</v>
      </c>
      <c r="E8" s="31">
        <v>0</v>
      </c>
      <c r="F8" s="32">
        <v>150000</v>
      </c>
      <c r="G8" s="26">
        <f>E5+IFERROR(IF(E8="",0,E8),0)-IFERROR(IF(F8="",0,F8),0)</f>
        <v>1350000</v>
      </c>
    </row>
    <row r="9" spans="1:7" ht="21.75" customHeight="1" x14ac:dyDescent="0.25">
      <c r="A9" s="13">
        <v>2</v>
      </c>
      <c r="B9" s="14"/>
      <c r="C9" s="14"/>
      <c r="D9" s="14"/>
      <c r="E9" s="31"/>
      <c r="F9" s="32"/>
      <c r="G9" s="26">
        <f t="shared" ref="G9:G37" si="0">IFERROR(G8,0)+IFERROR(IF(E9="",0,E9),0)-IFERROR(IF(F9="",0,F9),0)</f>
        <v>1350000</v>
      </c>
    </row>
    <row r="10" spans="1:7" ht="21.75" customHeight="1" x14ac:dyDescent="0.25">
      <c r="A10" s="8">
        <v>3</v>
      </c>
      <c r="B10" s="9"/>
      <c r="C10" s="9"/>
      <c r="D10" s="9"/>
      <c r="E10" s="31"/>
      <c r="F10" s="32"/>
      <c r="G10" s="26">
        <f t="shared" si="0"/>
        <v>1350000</v>
      </c>
    </row>
    <row r="11" spans="1:7" ht="21.75" customHeight="1" x14ac:dyDescent="0.25">
      <c r="A11" s="13">
        <v>4</v>
      </c>
      <c r="B11" s="14"/>
      <c r="C11" s="14"/>
      <c r="D11" s="14"/>
      <c r="E11" s="31"/>
      <c r="F11" s="32"/>
      <c r="G11" s="26">
        <f t="shared" si="0"/>
        <v>1350000</v>
      </c>
    </row>
    <row r="12" spans="1:7" ht="21.75" customHeight="1" x14ac:dyDescent="0.25">
      <c r="A12" s="8">
        <v>5</v>
      </c>
      <c r="B12" s="9"/>
      <c r="C12" s="9"/>
      <c r="D12" s="9"/>
      <c r="E12" s="31"/>
      <c r="F12" s="32"/>
      <c r="G12" s="26">
        <f t="shared" si="0"/>
        <v>1350000</v>
      </c>
    </row>
    <row r="13" spans="1:7" ht="21.75" customHeight="1" x14ac:dyDescent="0.25">
      <c r="A13" s="13">
        <v>6</v>
      </c>
      <c r="B13" s="14"/>
      <c r="C13" s="14"/>
      <c r="D13" s="14"/>
      <c r="E13" s="31"/>
      <c r="F13" s="32"/>
      <c r="G13" s="26">
        <f t="shared" si="0"/>
        <v>1350000</v>
      </c>
    </row>
    <row r="14" spans="1:7" ht="21.75" customHeight="1" x14ac:dyDescent="0.25">
      <c r="A14" s="8">
        <v>7</v>
      </c>
      <c r="B14" s="9"/>
      <c r="C14" s="9"/>
      <c r="D14" s="9"/>
      <c r="E14" s="31"/>
      <c r="F14" s="32"/>
      <c r="G14" s="26">
        <f t="shared" si="0"/>
        <v>1350000</v>
      </c>
    </row>
    <row r="15" spans="1:7" ht="21.75" customHeight="1" x14ac:dyDescent="0.25">
      <c r="A15" s="13">
        <v>8</v>
      </c>
      <c r="B15" s="14"/>
      <c r="C15" s="14"/>
      <c r="D15" s="14"/>
      <c r="E15" s="31"/>
      <c r="F15" s="32"/>
      <c r="G15" s="26">
        <f t="shared" si="0"/>
        <v>1350000</v>
      </c>
    </row>
    <row r="16" spans="1:7" ht="21.75" customHeight="1" x14ac:dyDescent="0.25">
      <c r="A16" s="8">
        <v>9</v>
      </c>
      <c r="B16" s="9"/>
      <c r="C16" s="9"/>
      <c r="D16" s="9"/>
      <c r="E16" s="31"/>
      <c r="F16" s="32"/>
      <c r="G16" s="26">
        <f t="shared" si="0"/>
        <v>1350000</v>
      </c>
    </row>
    <row r="17" spans="1:7" ht="21.75" customHeight="1" x14ac:dyDescent="0.25">
      <c r="A17" s="13">
        <v>10</v>
      </c>
      <c r="B17" s="14"/>
      <c r="C17" s="14"/>
      <c r="D17" s="14"/>
      <c r="E17" s="31"/>
      <c r="F17" s="32"/>
      <c r="G17" s="26">
        <f t="shared" si="0"/>
        <v>1350000</v>
      </c>
    </row>
    <row r="18" spans="1:7" ht="21.75" customHeight="1" x14ac:dyDescent="0.25">
      <c r="A18" s="8">
        <v>11</v>
      </c>
      <c r="B18" s="9"/>
      <c r="C18" s="9"/>
      <c r="D18" s="9"/>
      <c r="E18" s="31"/>
      <c r="F18" s="32"/>
      <c r="G18" s="26">
        <f t="shared" si="0"/>
        <v>1350000</v>
      </c>
    </row>
    <row r="19" spans="1:7" ht="21.75" customHeight="1" x14ac:dyDescent="0.25">
      <c r="A19" s="13">
        <v>12</v>
      </c>
      <c r="B19" s="14"/>
      <c r="C19" s="14"/>
      <c r="D19" s="14"/>
      <c r="E19" s="31"/>
      <c r="F19" s="32"/>
      <c r="G19" s="26">
        <f t="shared" si="0"/>
        <v>1350000</v>
      </c>
    </row>
    <row r="20" spans="1:7" ht="21.75" customHeight="1" x14ac:dyDescent="0.25">
      <c r="A20" s="8">
        <v>13</v>
      </c>
      <c r="B20" s="9"/>
      <c r="C20" s="9"/>
      <c r="D20" s="9"/>
      <c r="E20" s="31"/>
      <c r="F20" s="32"/>
      <c r="G20" s="26">
        <f t="shared" si="0"/>
        <v>1350000</v>
      </c>
    </row>
    <row r="21" spans="1:7" ht="21.75" customHeight="1" x14ac:dyDescent="0.25">
      <c r="A21" s="13">
        <v>14</v>
      </c>
      <c r="B21" s="14"/>
      <c r="C21" s="14"/>
      <c r="D21" s="14"/>
      <c r="E21" s="31"/>
      <c r="F21" s="32"/>
      <c r="G21" s="26">
        <f t="shared" si="0"/>
        <v>1350000</v>
      </c>
    </row>
    <row r="22" spans="1:7" ht="21.75" customHeight="1" x14ac:dyDescent="0.25">
      <c r="A22" s="8">
        <v>15</v>
      </c>
      <c r="B22" s="9"/>
      <c r="C22" s="9"/>
      <c r="D22" s="9"/>
      <c r="E22" s="31"/>
      <c r="F22" s="32"/>
      <c r="G22" s="26">
        <f t="shared" si="0"/>
        <v>1350000</v>
      </c>
    </row>
    <row r="23" spans="1:7" ht="21.75" customHeight="1" x14ac:dyDescent="0.25">
      <c r="A23" s="13">
        <v>16</v>
      </c>
      <c r="B23" s="14"/>
      <c r="C23" s="14"/>
      <c r="D23" s="14"/>
      <c r="E23" s="31"/>
      <c r="F23" s="32"/>
      <c r="G23" s="26">
        <f t="shared" si="0"/>
        <v>1350000</v>
      </c>
    </row>
    <row r="24" spans="1:7" ht="21.75" customHeight="1" x14ac:dyDescent="0.25">
      <c r="A24" s="8">
        <v>17</v>
      </c>
      <c r="B24" s="9"/>
      <c r="C24" s="9"/>
      <c r="D24" s="9"/>
      <c r="E24" s="31"/>
      <c r="F24" s="32"/>
      <c r="G24" s="26">
        <f t="shared" si="0"/>
        <v>1350000</v>
      </c>
    </row>
    <row r="25" spans="1:7" ht="21.75" customHeight="1" x14ac:dyDescent="0.25">
      <c r="A25" s="13">
        <v>18</v>
      </c>
      <c r="B25" s="14"/>
      <c r="C25" s="14"/>
      <c r="D25" s="14"/>
      <c r="E25" s="31"/>
      <c r="F25" s="32"/>
      <c r="G25" s="26">
        <f t="shared" si="0"/>
        <v>1350000</v>
      </c>
    </row>
    <row r="26" spans="1:7" ht="21.75" customHeight="1" x14ac:dyDescent="0.25">
      <c r="A26" s="8">
        <v>19</v>
      </c>
      <c r="B26" s="9"/>
      <c r="C26" s="9"/>
      <c r="D26" s="9"/>
      <c r="E26" s="31"/>
      <c r="F26" s="32"/>
      <c r="G26" s="26">
        <f t="shared" si="0"/>
        <v>1350000</v>
      </c>
    </row>
    <row r="27" spans="1:7" ht="21.75" customHeight="1" x14ac:dyDescent="0.25">
      <c r="A27" s="13">
        <v>20</v>
      </c>
      <c r="B27" s="14"/>
      <c r="C27" s="14"/>
      <c r="D27" s="14"/>
      <c r="E27" s="31"/>
      <c r="F27" s="32"/>
      <c r="G27" s="26">
        <f t="shared" si="0"/>
        <v>1350000</v>
      </c>
    </row>
    <row r="28" spans="1:7" ht="21.75" customHeight="1" x14ac:dyDescent="0.25">
      <c r="A28" s="8">
        <v>21</v>
      </c>
      <c r="B28" s="9"/>
      <c r="C28" s="9"/>
      <c r="D28" s="9"/>
      <c r="E28" s="31"/>
      <c r="F28" s="32"/>
      <c r="G28" s="26">
        <f t="shared" si="0"/>
        <v>1350000</v>
      </c>
    </row>
    <row r="29" spans="1:7" ht="21.75" customHeight="1" x14ac:dyDescent="0.25">
      <c r="A29" s="13">
        <v>22</v>
      </c>
      <c r="B29" s="14"/>
      <c r="C29" s="14"/>
      <c r="D29" s="14"/>
      <c r="E29" s="31"/>
      <c r="F29" s="32"/>
      <c r="G29" s="26">
        <f t="shared" si="0"/>
        <v>1350000</v>
      </c>
    </row>
    <row r="30" spans="1:7" ht="21.75" customHeight="1" x14ac:dyDescent="0.25">
      <c r="A30" s="8">
        <v>23</v>
      </c>
      <c r="B30" s="9"/>
      <c r="C30" s="9"/>
      <c r="D30" s="9"/>
      <c r="E30" s="31"/>
      <c r="F30" s="32"/>
      <c r="G30" s="26">
        <f t="shared" si="0"/>
        <v>1350000</v>
      </c>
    </row>
    <row r="31" spans="1:7" ht="21.75" customHeight="1" x14ac:dyDescent="0.25">
      <c r="A31" s="13">
        <v>24</v>
      </c>
      <c r="B31" s="14"/>
      <c r="C31" s="14"/>
      <c r="D31" s="14"/>
      <c r="E31" s="31"/>
      <c r="F31" s="32"/>
      <c r="G31" s="26">
        <f t="shared" si="0"/>
        <v>1350000</v>
      </c>
    </row>
    <row r="32" spans="1:7" ht="21.75" customHeight="1" x14ac:dyDescent="0.25">
      <c r="A32" s="8">
        <v>25</v>
      </c>
      <c r="B32" s="9"/>
      <c r="C32" s="9"/>
      <c r="D32" s="9"/>
      <c r="E32" s="31"/>
      <c r="F32" s="32"/>
      <c r="G32" s="26">
        <f t="shared" si="0"/>
        <v>1350000</v>
      </c>
    </row>
    <row r="33" spans="1:7" ht="21.75" customHeight="1" x14ac:dyDescent="0.25">
      <c r="A33" s="13">
        <v>26</v>
      </c>
      <c r="B33" s="14"/>
      <c r="C33" s="14"/>
      <c r="D33" s="14"/>
      <c r="E33" s="31"/>
      <c r="F33" s="32"/>
      <c r="G33" s="26">
        <f t="shared" si="0"/>
        <v>1350000</v>
      </c>
    </row>
    <row r="34" spans="1:7" ht="21.75" customHeight="1" x14ac:dyDescent="0.25">
      <c r="A34" s="8">
        <v>27</v>
      </c>
      <c r="B34" s="9"/>
      <c r="C34" s="9"/>
      <c r="D34" s="9"/>
      <c r="E34" s="31"/>
      <c r="F34" s="32"/>
      <c r="G34" s="26">
        <f t="shared" si="0"/>
        <v>1350000</v>
      </c>
    </row>
    <row r="35" spans="1:7" ht="21.75" customHeight="1" x14ac:dyDescent="0.25">
      <c r="A35" s="13">
        <v>28</v>
      </c>
      <c r="B35" s="14"/>
      <c r="C35" s="14"/>
      <c r="D35" s="14"/>
      <c r="E35" s="31"/>
      <c r="F35" s="32"/>
      <c r="G35" s="26">
        <f t="shared" si="0"/>
        <v>1350000</v>
      </c>
    </row>
    <row r="36" spans="1:7" ht="21.75" customHeight="1" x14ac:dyDescent="0.25">
      <c r="A36" s="8">
        <v>29</v>
      </c>
      <c r="B36" s="9"/>
      <c r="C36" s="9"/>
      <c r="D36" s="9"/>
      <c r="E36" s="31"/>
      <c r="F36" s="32"/>
      <c r="G36" s="26">
        <f t="shared" si="0"/>
        <v>1350000</v>
      </c>
    </row>
    <row r="37" spans="1:7" ht="21.75" customHeight="1" x14ac:dyDescent="0.25">
      <c r="A37" s="13">
        <v>30</v>
      </c>
      <c r="B37" s="14"/>
      <c r="C37" s="14"/>
      <c r="D37" s="14"/>
      <c r="E37" s="31"/>
      <c r="F37" s="32"/>
      <c r="G37" s="26">
        <f t="shared" si="0"/>
        <v>1350000</v>
      </c>
    </row>
    <row r="38" spans="1:7" ht="27.75" customHeight="1" x14ac:dyDescent="0.25">
      <c r="A38" s="51" t="s">
        <v>34</v>
      </c>
      <c r="B38" s="51"/>
      <c r="C38" s="51"/>
      <c r="D38" s="51"/>
      <c r="E38" s="33">
        <f>SUM(E8:E37)</f>
        <v>0</v>
      </c>
      <c r="F38" s="33">
        <f>SUM(F8:F37)</f>
        <v>150000</v>
      </c>
      <c r="G38" s="27">
        <f>G37</f>
        <v>1350000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44">
        <f>E38-F38</f>
        <v>-150000</v>
      </c>
      <c r="F40" s="44"/>
      <c r="G40" s="44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38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39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40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41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42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43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44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45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46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47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3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14" customWidth="1"/>
    <col min="3" max="3" width="32" customWidth="1"/>
    <col min="4" max="4" width="20" customWidth="1"/>
    <col min="5" max="7" width="18" customWidth="1"/>
  </cols>
  <sheetData>
    <row r="1" spans="1:7" ht="13.5" customHeight="1" x14ac:dyDescent="0.25"/>
    <row r="2" spans="1:7" ht="39.75" customHeight="1" x14ac:dyDescent="0.25">
      <c r="A2" s="47" t="s">
        <v>48</v>
      </c>
      <c r="B2" s="47"/>
      <c r="C2" s="47"/>
      <c r="D2" s="47"/>
      <c r="E2" s="47"/>
      <c r="F2" s="47"/>
      <c r="G2" s="47"/>
    </row>
    <row r="3" spans="1:7" ht="21.75" customHeight="1" x14ac:dyDescent="0.25">
      <c r="A3" s="48" t="s">
        <v>24</v>
      </c>
      <c r="B3" s="48"/>
      <c r="C3" s="48"/>
      <c r="D3" s="48"/>
      <c r="E3" s="48"/>
      <c r="F3" s="48"/>
      <c r="G3" s="48"/>
    </row>
    <row r="4" spans="1:7" ht="7.5" customHeight="1" x14ac:dyDescent="0.25"/>
    <row r="5" spans="1:7" ht="24" customHeight="1" x14ac:dyDescent="0.25">
      <c r="A5" s="49" t="s">
        <v>25</v>
      </c>
      <c r="B5" s="49"/>
      <c r="C5" s="49"/>
      <c r="D5" s="49"/>
      <c r="E5" s="6">
        <v>0</v>
      </c>
      <c r="F5" s="50" t="s">
        <v>26</v>
      </c>
      <c r="G5" s="50"/>
    </row>
    <row r="6" spans="1:7" ht="7.5" customHeight="1" x14ac:dyDescent="0.25"/>
    <row r="7" spans="1:7" ht="27.75" customHeight="1" x14ac:dyDescent="0.25">
      <c r="A7" s="7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7" t="s">
        <v>32</v>
      </c>
      <c r="G7" s="7" t="s">
        <v>33</v>
      </c>
    </row>
    <row r="8" spans="1:7" ht="21.75" customHeight="1" x14ac:dyDescent="0.25">
      <c r="A8" s="8">
        <v>1</v>
      </c>
      <c r="B8" s="9"/>
      <c r="C8" s="9"/>
      <c r="D8" s="9"/>
      <c r="E8" s="10"/>
      <c r="F8" s="11"/>
      <c r="G8" s="12">
        <f>E5+IFERROR(IF(E8="",0,E8),0)-IFERROR(IF(F8="",0,F8),0)</f>
        <v>0</v>
      </c>
    </row>
    <row r="9" spans="1:7" ht="21.75" customHeight="1" x14ac:dyDescent="0.25">
      <c r="A9" s="13">
        <v>2</v>
      </c>
      <c r="B9" s="14"/>
      <c r="C9" s="14"/>
      <c r="D9" s="14"/>
      <c r="E9" s="10"/>
      <c r="F9" s="11"/>
      <c r="G9" s="12">
        <f t="shared" ref="G9:G37" si="0">IFERROR(G8,0)+IFERROR(IF(E9="",0,E9),0)-IFERROR(IF(F9="",0,F9),0)</f>
        <v>0</v>
      </c>
    </row>
    <row r="10" spans="1:7" ht="21.75" customHeight="1" x14ac:dyDescent="0.25">
      <c r="A10" s="8">
        <v>3</v>
      </c>
      <c r="B10" s="9"/>
      <c r="C10" s="9"/>
      <c r="D10" s="9"/>
      <c r="E10" s="10"/>
      <c r="F10" s="11"/>
      <c r="G10" s="12">
        <f t="shared" si="0"/>
        <v>0</v>
      </c>
    </row>
    <row r="11" spans="1:7" ht="21.75" customHeight="1" x14ac:dyDescent="0.25">
      <c r="A11" s="13">
        <v>4</v>
      </c>
      <c r="B11" s="14"/>
      <c r="C11" s="14"/>
      <c r="D11" s="14"/>
      <c r="E11" s="10"/>
      <c r="F11" s="11"/>
      <c r="G11" s="12">
        <f t="shared" si="0"/>
        <v>0</v>
      </c>
    </row>
    <row r="12" spans="1:7" ht="21.75" customHeight="1" x14ac:dyDescent="0.25">
      <c r="A12" s="8">
        <v>5</v>
      </c>
      <c r="B12" s="9"/>
      <c r="C12" s="9"/>
      <c r="D12" s="9"/>
      <c r="E12" s="10"/>
      <c r="F12" s="11"/>
      <c r="G12" s="12">
        <f t="shared" si="0"/>
        <v>0</v>
      </c>
    </row>
    <row r="13" spans="1:7" ht="21.75" customHeight="1" x14ac:dyDescent="0.25">
      <c r="A13" s="13">
        <v>6</v>
      </c>
      <c r="B13" s="14"/>
      <c r="C13" s="14"/>
      <c r="D13" s="14"/>
      <c r="E13" s="10"/>
      <c r="F13" s="11"/>
      <c r="G13" s="12">
        <f t="shared" si="0"/>
        <v>0</v>
      </c>
    </row>
    <row r="14" spans="1:7" ht="21.75" customHeight="1" x14ac:dyDescent="0.25">
      <c r="A14" s="8">
        <v>7</v>
      </c>
      <c r="B14" s="9"/>
      <c r="C14" s="9"/>
      <c r="D14" s="9"/>
      <c r="E14" s="10"/>
      <c r="F14" s="11"/>
      <c r="G14" s="12">
        <f t="shared" si="0"/>
        <v>0</v>
      </c>
    </row>
    <row r="15" spans="1:7" ht="21.75" customHeight="1" x14ac:dyDescent="0.25">
      <c r="A15" s="13">
        <v>8</v>
      </c>
      <c r="B15" s="14"/>
      <c r="C15" s="14"/>
      <c r="D15" s="14"/>
      <c r="E15" s="10"/>
      <c r="F15" s="11"/>
      <c r="G15" s="12">
        <f t="shared" si="0"/>
        <v>0</v>
      </c>
    </row>
    <row r="16" spans="1:7" ht="21.75" customHeight="1" x14ac:dyDescent="0.25">
      <c r="A16" s="8">
        <v>9</v>
      </c>
      <c r="B16" s="9"/>
      <c r="C16" s="9"/>
      <c r="D16" s="9"/>
      <c r="E16" s="10"/>
      <c r="F16" s="11"/>
      <c r="G16" s="12">
        <f t="shared" si="0"/>
        <v>0</v>
      </c>
    </row>
    <row r="17" spans="1:7" ht="21.75" customHeight="1" x14ac:dyDescent="0.25">
      <c r="A17" s="13">
        <v>10</v>
      </c>
      <c r="B17" s="14"/>
      <c r="C17" s="14"/>
      <c r="D17" s="14"/>
      <c r="E17" s="10"/>
      <c r="F17" s="11"/>
      <c r="G17" s="12">
        <f t="shared" si="0"/>
        <v>0</v>
      </c>
    </row>
    <row r="18" spans="1:7" ht="21.75" customHeight="1" x14ac:dyDescent="0.25">
      <c r="A18" s="8">
        <v>11</v>
      </c>
      <c r="B18" s="9"/>
      <c r="C18" s="9"/>
      <c r="D18" s="9"/>
      <c r="E18" s="10"/>
      <c r="F18" s="11"/>
      <c r="G18" s="12">
        <f t="shared" si="0"/>
        <v>0</v>
      </c>
    </row>
    <row r="19" spans="1:7" ht="21.75" customHeight="1" x14ac:dyDescent="0.25">
      <c r="A19" s="13">
        <v>12</v>
      </c>
      <c r="B19" s="14"/>
      <c r="C19" s="14"/>
      <c r="D19" s="14"/>
      <c r="E19" s="10"/>
      <c r="F19" s="11"/>
      <c r="G19" s="12">
        <f t="shared" si="0"/>
        <v>0</v>
      </c>
    </row>
    <row r="20" spans="1:7" ht="21.75" customHeight="1" x14ac:dyDescent="0.25">
      <c r="A20" s="8">
        <v>13</v>
      </c>
      <c r="B20" s="9"/>
      <c r="C20" s="9"/>
      <c r="D20" s="9"/>
      <c r="E20" s="10"/>
      <c r="F20" s="11"/>
      <c r="G20" s="12">
        <f t="shared" si="0"/>
        <v>0</v>
      </c>
    </row>
    <row r="21" spans="1:7" ht="21.75" customHeight="1" x14ac:dyDescent="0.25">
      <c r="A21" s="13">
        <v>14</v>
      </c>
      <c r="B21" s="14"/>
      <c r="C21" s="14"/>
      <c r="D21" s="14"/>
      <c r="E21" s="10"/>
      <c r="F21" s="11"/>
      <c r="G21" s="12">
        <f t="shared" si="0"/>
        <v>0</v>
      </c>
    </row>
    <row r="22" spans="1:7" ht="21.75" customHeight="1" x14ac:dyDescent="0.25">
      <c r="A22" s="8">
        <v>15</v>
      </c>
      <c r="B22" s="9"/>
      <c r="C22" s="9"/>
      <c r="D22" s="9"/>
      <c r="E22" s="10"/>
      <c r="F22" s="11"/>
      <c r="G22" s="12">
        <f t="shared" si="0"/>
        <v>0</v>
      </c>
    </row>
    <row r="23" spans="1:7" ht="21.75" customHeight="1" x14ac:dyDescent="0.25">
      <c r="A23" s="13">
        <v>16</v>
      </c>
      <c r="B23" s="14"/>
      <c r="C23" s="14"/>
      <c r="D23" s="14"/>
      <c r="E23" s="10"/>
      <c r="F23" s="11"/>
      <c r="G23" s="12">
        <f t="shared" si="0"/>
        <v>0</v>
      </c>
    </row>
    <row r="24" spans="1:7" ht="21.75" customHeight="1" x14ac:dyDescent="0.25">
      <c r="A24" s="8">
        <v>17</v>
      </c>
      <c r="B24" s="9"/>
      <c r="C24" s="9"/>
      <c r="D24" s="9"/>
      <c r="E24" s="10"/>
      <c r="F24" s="11"/>
      <c r="G24" s="12">
        <f t="shared" si="0"/>
        <v>0</v>
      </c>
    </row>
    <row r="25" spans="1:7" ht="21.75" customHeight="1" x14ac:dyDescent="0.25">
      <c r="A25" s="13">
        <v>18</v>
      </c>
      <c r="B25" s="14"/>
      <c r="C25" s="14"/>
      <c r="D25" s="14"/>
      <c r="E25" s="10"/>
      <c r="F25" s="11"/>
      <c r="G25" s="12">
        <f t="shared" si="0"/>
        <v>0</v>
      </c>
    </row>
    <row r="26" spans="1:7" ht="21.75" customHeight="1" x14ac:dyDescent="0.25">
      <c r="A26" s="8">
        <v>19</v>
      </c>
      <c r="B26" s="9"/>
      <c r="C26" s="9"/>
      <c r="D26" s="9"/>
      <c r="E26" s="10"/>
      <c r="F26" s="11"/>
      <c r="G26" s="12">
        <f t="shared" si="0"/>
        <v>0</v>
      </c>
    </row>
    <row r="27" spans="1:7" ht="21.75" customHeight="1" x14ac:dyDescent="0.25">
      <c r="A27" s="13">
        <v>20</v>
      </c>
      <c r="B27" s="14"/>
      <c r="C27" s="14"/>
      <c r="D27" s="14"/>
      <c r="E27" s="10"/>
      <c r="F27" s="11"/>
      <c r="G27" s="12">
        <f t="shared" si="0"/>
        <v>0</v>
      </c>
    </row>
    <row r="28" spans="1:7" ht="21.75" customHeight="1" x14ac:dyDescent="0.25">
      <c r="A28" s="8">
        <v>21</v>
      </c>
      <c r="B28" s="9"/>
      <c r="C28" s="9"/>
      <c r="D28" s="9"/>
      <c r="E28" s="10"/>
      <c r="F28" s="11"/>
      <c r="G28" s="12">
        <f t="shared" si="0"/>
        <v>0</v>
      </c>
    </row>
    <row r="29" spans="1:7" ht="21.75" customHeight="1" x14ac:dyDescent="0.25">
      <c r="A29" s="13">
        <v>22</v>
      </c>
      <c r="B29" s="14"/>
      <c r="C29" s="14"/>
      <c r="D29" s="14"/>
      <c r="E29" s="10"/>
      <c r="F29" s="11"/>
      <c r="G29" s="12">
        <f t="shared" si="0"/>
        <v>0</v>
      </c>
    </row>
    <row r="30" spans="1:7" ht="21.75" customHeight="1" x14ac:dyDescent="0.25">
      <c r="A30" s="8">
        <v>23</v>
      </c>
      <c r="B30" s="9"/>
      <c r="C30" s="9"/>
      <c r="D30" s="9"/>
      <c r="E30" s="10"/>
      <c r="F30" s="11"/>
      <c r="G30" s="12">
        <f t="shared" si="0"/>
        <v>0</v>
      </c>
    </row>
    <row r="31" spans="1:7" ht="21.75" customHeight="1" x14ac:dyDescent="0.25">
      <c r="A31" s="13">
        <v>24</v>
      </c>
      <c r="B31" s="14"/>
      <c r="C31" s="14"/>
      <c r="D31" s="14"/>
      <c r="E31" s="10"/>
      <c r="F31" s="11"/>
      <c r="G31" s="12">
        <f t="shared" si="0"/>
        <v>0</v>
      </c>
    </row>
    <row r="32" spans="1:7" ht="21.75" customHeight="1" x14ac:dyDescent="0.25">
      <c r="A32" s="8">
        <v>25</v>
      </c>
      <c r="B32" s="9"/>
      <c r="C32" s="9"/>
      <c r="D32" s="9"/>
      <c r="E32" s="10"/>
      <c r="F32" s="11"/>
      <c r="G32" s="12">
        <f t="shared" si="0"/>
        <v>0</v>
      </c>
    </row>
    <row r="33" spans="1:7" ht="21.75" customHeight="1" x14ac:dyDescent="0.25">
      <c r="A33" s="13">
        <v>26</v>
      </c>
      <c r="B33" s="14"/>
      <c r="C33" s="14"/>
      <c r="D33" s="14"/>
      <c r="E33" s="10"/>
      <c r="F33" s="11"/>
      <c r="G33" s="12">
        <f t="shared" si="0"/>
        <v>0</v>
      </c>
    </row>
    <row r="34" spans="1:7" ht="21.75" customHeight="1" x14ac:dyDescent="0.25">
      <c r="A34" s="8">
        <v>27</v>
      </c>
      <c r="B34" s="9"/>
      <c r="C34" s="9"/>
      <c r="D34" s="9"/>
      <c r="E34" s="10"/>
      <c r="F34" s="11"/>
      <c r="G34" s="12">
        <f t="shared" si="0"/>
        <v>0</v>
      </c>
    </row>
    <row r="35" spans="1:7" ht="21.75" customHeight="1" x14ac:dyDescent="0.25">
      <c r="A35" s="13">
        <v>28</v>
      </c>
      <c r="B35" s="14"/>
      <c r="C35" s="14"/>
      <c r="D35" s="14"/>
      <c r="E35" s="10"/>
      <c r="F35" s="11"/>
      <c r="G35" s="12">
        <f t="shared" si="0"/>
        <v>0</v>
      </c>
    </row>
    <row r="36" spans="1:7" ht="21.75" customHeight="1" x14ac:dyDescent="0.25">
      <c r="A36" s="8">
        <v>29</v>
      </c>
      <c r="B36" s="9"/>
      <c r="C36" s="9"/>
      <c r="D36" s="9"/>
      <c r="E36" s="10"/>
      <c r="F36" s="11"/>
      <c r="G36" s="12">
        <f t="shared" si="0"/>
        <v>0</v>
      </c>
    </row>
    <row r="37" spans="1:7" ht="21.75" customHeight="1" x14ac:dyDescent="0.25">
      <c r="A37" s="13">
        <v>30</v>
      </c>
      <c r="B37" s="14"/>
      <c r="C37" s="14"/>
      <c r="D37" s="14"/>
      <c r="E37" s="10"/>
      <c r="F37" s="11"/>
      <c r="G37" s="12">
        <f t="shared" si="0"/>
        <v>0</v>
      </c>
    </row>
    <row r="38" spans="1:7" ht="27.75" customHeight="1" x14ac:dyDescent="0.25">
      <c r="A38" s="51" t="s">
        <v>34</v>
      </c>
      <c r="B38" s="51"/>
      <c r="C38" s="51"/>
      <c r="D38" s="51"/>
      <c r="E38" s="15">
        <f>SUM(E8:E37)</f>
        <v>0</v>
      </c>
      <c r="F38" s="15">
        <f>SUM(F8:F37)</f>
        <v>0</v>
      </c>
      <c r="G38" s="15">
        <f>G37</f>
        <v>0</v>
      </c>
    </row>
    <row r="39" spans="1:7" ht="7.5" customHeight="1" x14ac:dyDescent="0.25"/>
    <row r="40" spans="1:7" ht="25.5" customHeight="1" x14ac:dyDescent="0.25">
      <c r="A40" s="43" t="s">
        <v>35</v>
      </c>
      <c r="B40" s="43"/>
      <c r="C40" s="43"/>
      <c r="D40" s="43"/>
      <c r="E40" s="52">
        <f>E38-F38</f>
        <v>0</v>
      </c>
      <c r="F40" s="52"/>
      <c r="G40" s="52"/>
    </row>
    <row r="41" spans="1:7" ht="21.75" customHeight="1" x14ac:dyDescent="0.25">
      <c r="A41" s="45" t="s">
        <v>36</v>
      </c>
      <c r="B41" s="45"/>
      <c r="C41" s="45"/>
      <c r="D41" s="45"/>
      <c r="E41" s="45"/>
      <c r="F41" s="45"/>
      <c r="G41" s="45"/>
    </row>
    <row r="43" spans="1:7" ht="21.75" customHeight="1" x14ac:dyDescent="0.25">
      <c r="A43" s="46" t="s">
        <v>37</v>
      </c>
      <c r="B43" s="46"/>
      <c r="C43" s="46"/>
      <c r="D43" s="46"/>
      <c r="E43" s="46"/>
      <c r="F43" s="46"/>
      <c r="G43" s="46"/>
    </row>
  </sheetData>
  <mergeCells count="9">
    <mergeCell ref="A40:D40"/>
    <mergeCell ref="E40:G40"/>
    <mergeCell ref="A41:G41"/>
    <mergeCell ref="A43:G43"/>
    <mergeCell ref="A2:G2"/>
    <mergeCell ref="A3:G3"/>
    <mergeCell ref="A5:D5"/>
    <mergeCell ref="F5:G5"/>
    <mergeCell ref="A38:D3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F22"/>
  <sheetViews>
    <sheetView showGridLines="0" zoomScaleNormal="100" workbookViewId="0"/>
  </sheetViews>
  <sheetFormatPr defaultColWidth="8.7109375" defaultRowHeight="15" x14ac:dyDescent="0.25"/>
  <cols>
    <col min="1" max="1" width="5" customWidth="1"/>
    <col min="2" max="2" width="22" customWidth="1"/>
    <col min="3" max="6" width="20" customWidth="1"/>
  </cols>
  <sheetData>
    <row r="2" spans="1:6" ht="45" customHeight="1" x14ac:dyDescent="0.25">
      <c r="A2" s="53" t="s">
        <v>49</v>
      </c>
      <c r="B2" s="53"/>
      <c r="C2" s="53"/>
      <c r="D2" s="53"/>
      <c r="E2" s="53"/>
      <c r="F2" s="53"/>
    </row>
    <row r="3" spans="1:6" ht="21.75" customHeight="1" x14ac:dyDescent="0.25">
      <c r="A3" s="48" t="s">
        <v>50</v>
      </c>
      <c r="B3" s="48"/>
      <c r="C3" s="48"/>
      <c r="D3" s="48"/>
      <c r="E3" s="48"/>
      <c r="F3" s="48"/>
    </row>
    <row r="5" spans="1:6" ht="25.5" customHeight="1" x14ac:dyDescent="0.25">
      <c r="A5" s="7" t="s">
        <v>27</v>
      </c>
      <c r="B5" s="7" t="s">
        <v>51</v>
      </c>
      <c r="C5" s="7" t="s">
        <v>52</v>
      </c>
      <c r="D5" s="7" t="s">
        <v>53</v>
      </c>
      <c r="E5" s="7" t="s">
        <v>54</v>
      </c>
      <c r="F5" s="7" t="s">
        <v>55</v>
      </c>
    </row>
    <row r="6" spans="1:6" ht="24" customHeight="1" x14ac:dyDescent="0.25">
      <c r="A6" s="16">
        <v>1</v>
      </c>
      <c r="B6" s="17" t="s">
        <v>56</v>
      </c>
      <c r="C6" s="18">
        <f>'📅 Januari'!E38</f>
        <v>0</v>
      </c>
      <c r="D6" s="19">
        <f>'📅 Januari'!F38</f>
        <v>150000</v>
      </c>
      <c r="E6" s="20">
        <f t="shared" ref="E6:E17" si="0">C6-D6</f>
        <v>-150000</v>
      </c>
      <c r="F6" s="16" t="str">
        <f t="shared" ref="F6:F17" si="1">IF(E6&gt;0,"✅ Untung",IF(E6&lt;0,"⚠️ Rugi","➖ Impas"))</f>
        <v>⚠️ Rugi</v>
      </c>
    </row>
    <row r="7" spans="1:6" ht="24" customHeight="1" x14ac:dyDescent="0.25">
      <c r="A7" s="21">
        <v>2</v>
      </c>
      <c r="B7" s="22" t="s">
        <v>57</v>
      </c>
      <c r="C7" s="18">
        <f>'📅 Februari'!E38</f>
        <v>0</v>
      </c>
      <c r="D7" s="19">
        <f>'📅 Februari'!F38</f>
        <v>0</v>
      </c>
      <c r="E7" s="20">
        <f t="shared" si="0"/>
        <v>0</v>
      </c>
      <c r="F7" s="21" t="str">
        <f t="shared" si="1"/>
        <v>➖ Impas</v>
      </c>
    </row>
    <row r="8" spans="1:6" ht="24" customHeight="1" x14ac:dyDescent="0.25">
      <c r="A8" s="16">
        <v>3</v>
      </c>
      <c r="B8" s="17" t="s">
        <v>58</v>
      </c>
      <c r="C8" s="18">
        <f>'📅 Maret'!E38</f>
        <v>0</v>
      </c>
      <c r="D8" s="19">
        <f>'📅 Maret'!F38</f>
        <v>0</v>
      </c>
      <c r="E8" s="20">
        <f t="shared" si="0"/>
        <v>0</v>
      </c>
      <c r="F8" s="16" t="str">
        <f t="shared" si="1"/>
        <v>➖ Impas</v>
      </c>
    </row>
    <row r="9" spans="1:6" ht="24" customHeight="1" x14ac:dyDescent="0.25">
      <c r="A9" s="21">
        <v>4</v>
      </c>
      <c r="B9" s="22" t="s">
        <v>59</v>
      </c>
      <c r="C9" s="18">
        <f>'📅 April'!E38</f>
        <v>0</v>
      </c>
      <c r="D9" s="19">
        <f>'📅 April'!F38</f>
        <v>0</v>
      </c>
      <c r="E9" s="20">
        <f t="shared" si="0"/>
        <v>0</v>
      </c>
      <c r="F9" s="21" t="str">
        <f t="shared" si="1"/>
        <v>➖ Impas</v>
      </c>
    </row>
    <row r="10" spans="1:6" ht="24" customHeight="1" x14ac:dyDescent="0.25">
      <c r="A10" s="16">
        <v>5</v>
      </c>
      <c r="B10" s="17" t="s">
        <v>60</v>
      </c>
      <c r="C10" s="18">
        <f>'📅 Mei'!E38</f>
        <v>0</v>
      </c>
      <c r="D10" s="19">
        <f>'📅 Mei'!F38</f>
        <v>0</v>
      </c>
      <c r="E10" s="20">
        <f t="shared" si="0"/>
        <v>0</v>
      </c>
      <c r="F10" s="16" t="str">
        <f t="shared" si="1"/>
        <v>➖ Impas</v>
      </c>
    </row>
    <row r="11" spans="1:6" ht="24" customHeight="1" x14ac:dyDescent="0.25">
      <c r="A11" s="21">
        <v>6</v>
      </c>
      <c r="B11" s="22" t="s">
        <v>61</v>
      </c>
      <c r="C11" s="18">
        <f>'📅 Juni'!E38</f>
        <v>0</v>
      </c>
      <c r="D11" s="19">
        <f>'📅 Juni'!F38</f>
        <v>0</v>
      </c>
      <c r="E11" s="20">
        <f t="shared" si="0"/>
        <v>0</v>
      </c>
      <c r="F11" s="21" t="str">
        <f t="shared" si="1"/>
        <v>➖ Impas</v>
      </c>
    </row>
    <row r="12" spans="1:6" ht="24" customHeight="1" x14ac:dyDescent="0.25">
      <c r="A12" s="16">
        <v>7</v>
      </c>
      <c r="B12" s="17" t="s">
        <v>62</v>
      </c>
      <c r="C12" s="18">
        <f>'📅 Juli'!E38</f>
        <v>0</v>
      </c>
      <c r="D12" s="19">
        <f>'📅 Juli'!F38</f>
        <v>0</v>
      </c>
      <c r="E12" s="20">
        <f t="shared" si="0"/>
        <v>0</v>
      </c>
      <c r="F12" s="16" t="str">
        <f t="shared" si="1"/>
        <v>➖ Impas</v>
      </c>
    </row>
    <row r="13" spans="1:6" ht="24" customHeight="1" x14ac:dyDescent="0.25">
      <c r="A13" s="21">
        <v>8</v>
      </c>
      <c r="B13" s="22" t="s">
        <v>63</v>
      </c>
      <c r="C13" s="18">
        <f>'📅 Agustus'!E38</f>
        <v>0</v>
      </c>
      <c r="D13" s="19">
        <f>'📅 Agustus'!F38</f>
        <v>0</v>
      </c>
      <c r="E13" s="20">
        <f t="shared" si="0"/>
        <v>0</v>
      </c>
      <c r="F13" s="21" t="str">
        <f t="shared" si="1"/>
        <v>➖ Impas</v>
      </c>
    </row>
    <row r="14" spans="1:6" ht="24" customHeight="1" x14ac:dyDescent="0.25">
      <c r="A14" s="16">
        <v>9</v>
      </c>
      <c r="B14" s="17" t="s">
        <v>64</v>
      </c>
      <c r="C14" s="18">
        <f>'📅 September'!E38</f>
        <v>0</v>
      </c>
      <c r="D14" s="19">
        <f>'📅 September'!F38</f>
        <v>0</v>
      </c>
      <c r="E14" s="20">
        <f t="shared" si="0"/>
        <v>0</v>
      </c>
      <c r="F14" s="16" t="str">
        <f t="shared" si="1"/>
        <v>➖ Impas</v>
      </c>
    </row>
    <row r="15" spans="1:6" ht="24" customHeight="1" x14ac:dyDescent="0.25">
      <c r="A15" s="21">
        <v>10</v>
      </c>
      <c r="B15" s="22" t="s">
        <v>65</v>
      </c>
      <c r="C15" s="18">
        <f>'📅 Oktober'!E38</f>
        <v>0</v>
      </c>
      <c r="D15" s="19">
        <f>'📅 Oktober'!F38</f>
        <v>0</v>
      </c>
      <c r="E15" s="20">
        <f t="shared" si="0"/>
        <v>0</v>
      </c>
      <c r="F15" s="21" t="str">
        <f t="shared" si="1"/>
        <v>➖ Impas</v>
      </c>
    </row>
    <row r="16" spans="1:6" ht="24" customHeight="1" x14ac:dyDescent="0.25">
      <c r="A16" s="16">
        <v>11</v>
      </c>
      <c r="B16" s="17" t="s">
        <v>66</v>
      </c>
      <c r="C16" s="18">
        <f>'📅 November'!E38</f>
        <v>0</v>
      </c>
      <c r="D16" s="19">
        <f>'📅 November'!F38</f>
        <v>0</v>
      </c>
      <c r="E16" s="20">
        <f t="shared" si="0"/>
        <v>0</v>
      </c>
      <c r="F16" s="16" t="str">
        <f t="shared" si="1"/>
        <v>➖ Impas</v>
      </c>
    </row>
    <row r="17" spans="1:6" ht="24" customHeight="1" x14ac:dyDescent="0.25">
      <c r="A17" s="21">
        <v>12</v>
      </c>
      <c r="B17" s="22" t="s">
        <v>67</v>
      </c>
      <c r="C17" s="18">
        <f>'📅 Desember'!E38</f>
        <v>0</v>
      </c>
      <c r="D17" s="19">
        <f>'📅 Desember'!F38</f>
        <v>0</v>
      </c>
      <c r="E17" s="20">
        <f t="shared" si="0"/>
        <v>0</v>
      </c>
      <c r="F17" s="21" t="str">
        <f t="shared" si="1"/>
        <v>➖ Impas</v>
      </c>
    </row>
    <row r="19" spans="1:6" ht="7.5" customHeight="1" x14ac:dyDescent="0.25"/>
    <row r="20" spans="1:6" ht="27.75" customHeight="1" x14ac:dyDescent="0.25">
      <c r="A20" s="54" t="s">
        <v>68</v>
      </c>
      <c r="B20" s="54"/>
      <c r="C20" s="15">
        <f>SUM(C6:C17)</f>
        <v>0</v>
      </c>
      <c r="D20" s="15">
        <f>SUM(D6:D17)</f>
        <v>150000</v>
      </c>
      <c r="E20" s="15">
        <f>C20-D20</f>
        <v>-150000</v>
      </c>
      <c r="F20" s="23" t="str">
        <f>IF(E20&gt;0,"✅ UNTUNG",IF(E20&lt;0,"⚠️ RUGI","➖ IMPAS"))</f>
        <v>⚠️ RUGI</v>
      </c>
    </row>
    <row r="22" spans="1:6" ht="21.75" customHeight="1" x14ac:dyDescent="0.25">
      <c r="A22" s="45" t="s">
        <v>69</v>
      </c>
      <c r="B22" s="45"/>
      <c r="C22" s="45"/>
      <c r="D22" s="45"/>
      <c r="E22" s="45"/>
      <c r="F22" s="45"/>
    </row>
  </sheetData>
  <mergeCells count="4">
    <mergeCell ref="A2:F2"/>
    <mergeCell ref="A3:F3"/>
    <mergeCell ref="A20:B20"/>
    <mergeCell ref="A22:F2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Petunjuk</vt:lpstr>
      <vt:lpstr>📅 Januari</vt:lpstr>
      <vt:lpstr>📅 Februari</vt:lpstr>
      <vt:lpstr>📅 Maret</vt:lpstr>
      <vt:lpstr>📅 April</vt:lpstr>
      <vt:lpstr>📅 Mei</vt:lpstr>
      <vt:lpstr>📅 Juni</vt:lpstr>
      <vt:lpstr>📅 Juli</vt:lpstr>
      <vt:lpstr>📅 Agustus</vt:lpstr>
      <vt:lpstr>📅 September</vt:lpstr>
      <vt:lpstr>📅 Oktober</vt:lpstr>
      <vt:lpstr>📅 November</vt:lpstr>
      <vt:lpstr>📅 Desember</vt:lpstr>
      <vt:lpstr>📊 Rekap Tahunan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2026-05-13T12:14:55Z</dcterms:created>
  <dcterms:modified xsi:type="dcterms:W3CDTF">2026-07-17T04:38:24Z</dcterms:modified>
  <dc:language>en-US</dc:language>
</cp:coreProperties>
</file>